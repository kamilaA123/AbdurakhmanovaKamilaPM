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3040" windowHeight="10512"/>
  </bookViews>
  <sheets>
    <sheet name="Расписание проекта" sheetId="11" r:id="rId1"/>
  </sheets>
  <definedNames>
    <definedName name="завершение_выполнения_задачи" localSheetId="0">'Расписание проекта'!$F1</definedName>
    <definedName name="_xlnm.Print_Titles" localSheetId="0">'Расписание проекта'!$4:$6</definedName>
    <definedName name="начало_выполнения_задачи" localSheetId="0">'Расписание проекта'!$E1</definedName>
    <definedName name="Начало_проекта">'Расписание проекта'!$E$3</definedName>
    <definedName name="Отображение_недели">'Расписание проекта'!$E$4</definedName>
    <definedName name="сегодня" localSheetId="0">TODAY()</definedName>
    <definedName name="ход_выполнения_задачи" localSheetId="0">'Расписание проекта'!$D1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1" l="1"/>
  <c r="H35" i="11"/>
  <c r="H34" i="11"/>
  <c r="H33" i="11"/>
  <c r="H32" i="11"/>
  <c r="H14" i="11"/>
  <c r="H16" i="11"/>
  <c r="H15" i="11"/>
  <c r="H10" i="11"/>
  <c r="H7" i="11" l="1"/>
  <c r="E9" i="11" l="1"/>
  <c r="H13" i="11" l="1"/>
  <c r="E23" i="11"/>
  <c r="F23" i="11" s="1"/>
  <c r="H23" i="11" s="1"/>
  <c r="I5" i="11"/>
  <c r="I6" i="11" s="1"/>
  <c r="H37" i="11"/>
  <c r="H31" i="11"/>
  <c r="H30" i="11"/>
  <c r="H29" i="11"/>
  <c r="H28" i="11"/>
  <c r="H26" i="11"/>
  <c r="H21" i="11"/>
  <c r="H18" i="11"/>
  <c r="H8" i="11"/>
  <c r="H22" i="11" l="1"/>
  <c r="H9" i="11"/>
  <c r="E20" i="11"/>
  <c r="H27" i="11" l="1"/>
  <c r="H24" i="11"/>
  <c r="H19" i="11"/>
  <c r="H17" i="11"/>
  <c r="J5" i="11"/>
  <c r="J6" i="11" s="1"/>
  <c r="K5" i="11" l="1"/>
  <c r="K6" i="11" s="1"/>
  <c r="L5" i="11" l="1"/>
  <c r="L6" i="11" s="1"/>
  <c r="M5" i="11" l="1"/>
  <c r="M6" i="11" s="1"/>
  <c r="N5" i="11" l="1"/>
  <c r="N6" i="11" s="1"/>
  <c r="O5" i="11" l="1"/>
  <c r="O6" i="11" s="1"/>
  <c r="P5" i="11" l="1"/>
  <c r="P6" i="11" s="1"/>
  <c r="I4" i="11"/>
  <c r="H25" i="11" l="1"/>
  <c r="H20" i="11"/>
  <c r="H11" i="11"/>
  <c r="H12" i="11"/>
  <c r="P4" i="11"/>
  <c r="Q5" i="11"/>
  <c r="Q6" i="11" s="1"/>
  <c r="R5" i="11" l="1"/>
  <c r="R6" i="11" s="1"/>
  <c r="S5" i="11" l="1"/>
  <c r="S6" i="11" s="1"/>
  <c r="T5" i="11" l="1"/>
  <c r="T6" i="11" s="1"/>
  <c r="U5" i="11" l="1"/>
  <c r="U6" i="11" s="1"/>
  <c r="V5" i="11" l="1"/>
  <c r="V6" i="11" s="1"/>
  <c r="W5" i="11" l="1"/>
  <c r="W6" i="11" s="1"/>
  <c r="X5" i="11" l="1"/>
  <c r="X6" i="11" s="1"/>
  <c r="W4" i="11"/>
  <c r="Y5" i="11" l="1"/>
  <c r="Y6" i="11" s="1"/>
  <c r="Z5" i="11" l="1"/>
  <c r="Z6" i="11" s="1"/>
  <c r="AA5" i="11" l="1"/>
  <c r="AA6" i="11" s="1"/>
  <c r="AB5" i="11"/>
  <c r="AB6" i="11" s="1"/>
  <c r="AC5" i="11" l="1"/>
  <c r="AC6" i="11" s="1"/>
  <c r="AD5" i="11" l="1"/>
  <c r="AD6" i="11" s="1"/>
  <c r="AE5" i="11" l="1"/>
  <c r="AE6" i="11" s="1"/>
  <c r="AF5" i="11" l="1"/>
  <c r="AF6" i="11" s="1"/>
  <c r="AG5" i="11"/>
  <c r="AG6" i="11" s="1"/>
  <c r="AH5" i="11" l="1"/>
  <c r="AH6" i="11" s="1"/>
  <c r="AI5" i="11" l="1"/>
  <c r="AI6" i="11" s="1"/>
  <c r="AJ5" i="11" l="1"/>
  <c r="AJ6" i="11" s="1"/>
  <c r="AD4" i="11"/>
  <c r="AK5" i="11" l="1"/>
  <c r="AK6" i="11" s="1"/>
  <c r="AL5" i="11" l="1"/>
  <c r="AL6" i="11" s="1"/>
  <c r="AM5" i="11" l="1"/>
  <c r="AM6" i="11" s="1"/>
  <c r="AN5" i="11" l="1"/>
  <c r="AN6" i="11" s="1"/>
  <c r="AO5" i="11" l="1"/>
  <c r="AO6" i="11" s="1"/>
  <c r="AP5" i="11" l="1"/>
  <c r="AP6" i="11" s="1"/>
  <c r="AQ5" i="11" l="1"/>
  <c r="AQ6" i="11" s="1"/>
  <c r="AR5" i="11" l="1"/>
  <c r="AR6" i="11" s="1"/>
  <c r="AS5" i="11"/>
  <c r="AS6" i="11" s="1"/>
  <c r="AK4" i="11"/>
  <c r="AT5" i="11" l="1"/>
  <c r="AT6" i="11" s="1"/>
  <c r="AR4" i="11"/>
  <c r="AU5" i="11" l="1"/>
  <c r="AU6" i="11" s="1"/>
  <c r="AV5" i="11" l="1"/>
  <c r="AV6" i="11" s="1"/>
  <c r="AW5" i="11" l="1"/>
  <c r="AW6" i="11" s="1"/>
  <c r="AX5" i="11" l="1"/>
  <c r="AX6" i="11" s="1"/>
  <c r="AY5" i="11" l="1"/>
  <c r="AY6" i="11" s="1"/>
  <c r="AZ5" i="11" l="1"/>
  <c r="AZ6" i="11" s="1"/>
  <c r="AY4" i="11"/>
  <c r="BA5" i="11" l="1"/>
  <c r="BA6" i="11" s="1"/>
  <c r="BB5" i="11" l="1"/>
  <c r="BB6" i="11" s="1"/>
  <c r="BC5" i="11"/>
  <c r="BC6" i="11" s="1"/>
  <c r="BD5" i="11" l="1"/>
  <c r="BD6" i="11" s="1"/>
  <c r="BE5" i="11" l="1"/>
  <c r="BE6" i="11" s="1"/>
  <c r="BF5" i="11" l="1"/>
  <c r="BF6" i="11" s="1"/>
  <c r="BG5" i="11" l="1"/>
  <c r="BG6" i="11" s="1"/>
  <c r="BF4" i="11"/>
  <c r="BH5" i="11" l="1"/>
  <c r="BH6" i="11" s="1"/>
  <c r="BI5" i="11" l="1"/>
  <c r="BI6" i="11" s="1"/>
  <c r="BJ5" i="11" l="1"/>
  <c r="BJ6" i="11" s="1"/>
  <c r="BK5" i="11" l="1"/>
  <c r="BK6" i="11" s="1"/>
  <c r="BL5" i="11" l="1"/>
  <c r="BL6" i="11" s="1"/>
</calcChain>
</file>

<file path=xl/sharedStrings.xml><?xml version="1.0" encoding="utf-8"?>
<sst xmlns="http://schemas.openxmlformats.org/spreadsheetml/2006/main" count="81" uniqueCount="57">
  <si>
    <t>Составьте на этом листе расписание проекта.
Введите название проекта в ячейке B1. 
Сведения о том, как использовать этот лист, включая инструкции для средств чтения с экрана и информацию об авторе книги, приведены на листе «Об этой книге».
Дальнейшие инструкции вы найдете в расположенных ниже ячейках столбца A.</t>
  </si>
  <si>
    <t>Введите название компании в ячейке B2.</t>
  </si>
  <si>
    <t>Введите имя руководителя проекта в ячейке B3. Введите дату начала проекта в ячейке E3. В ячейке C3 находится надпись «Начало проекта».</t>
  </si>
  <si>
    <t>Номер отображаемой недели в ячейке E4 указывает, с какой недели начинается расписание проекта в ячейке I4. Считается, что дата начала проекта относится к неделе 1. Чтобы изменить отображаемую неделю, просто введите новый номер недели в ячейке E4.
Дата начала каждой недели (начиная с отображаемой недели, указанной в ячейке E4) указывается в ячейке I4 и рассчитывается автоматически. В этом представлении отображаются 8 недель в ячейках от I4 до BF4.
Не следует редактировать эти ячейки.
В ячейке C4 находится надпись "Отображаемая неделя".</t>
  </si>
  <si>
    <t>Ячейки с I5 по BL5 содержат дни недели, указанной в блоке ячеек над ними, и вычисляются автоматически.
Не следует редактировать эти ячейки.
Текущая дата выделена красным прямоугольником (код цвета — #AD3815), который начинается с этой даты в строке 5 и охватывает весь столбец до конца расписания проекта.</t>
  </si>
  <si>
    <t>Эта строка содержит заголовки для расписания проекта, которое следует под ними. 
Чтобы прослушать содержимое, переходите между ячейками B6–BL6. Первые буквы дней недели для даты, указанной над этим заголовком, представлены в ячейках с I6 по BL6.
Все диаграммы графика проекта создаются автоматически с учетом введенных дат начала и завершения и с использованием условного форматирования.
Не редактируйте содержимое ячеек в столбцах после столбца I, начиная с ячейки I7.</t>
  </si>
  <si>
    <t xml:space="preserve">Не удаляйте эту строку. Эта строка скрыта, чтобы защитить формулу, которая используется для выделения текущей даты в расписании проекта. </t>
  </si>
  <si>
    <t>Ячейка B8 содержит пример заголовка фазы 1. 
Введите новый заголовок в ячейке B8.
Введите имя человека, которому будет назначена фаза (если это применимо к вашему проекту), в ячейке C8.
Укажите состояние выполнения всей фазы (если это применимо к вашему проекту) в ячейке D8.
Укажите даны начала и окончания всей фазы (если это применимо к вашему проекту) в ячейках E8 и F8. 
В диаграмму Ганта будут автоматически добавлены даты и затенение в соответствии с указанным состоянием выполнения.
Чтобы удалить фазу и работать только с задачами, просто удалите эту строку.</t>
  </si>
  <si>
    <t xml:space="preserve">Ячейка B9 содержит пример задачи "Задача 1". 
Введите название новой задачи в ячейке B9.
Укажите человека, которому будет назначена задача, в ячейке C9.
Укажите состояние выполнения задачи в ячейке D9. В ячейке появится индикатор выполнения, затененный в соответствии с числом в этой ячейке. Например, если указано значение в 50 процентов, будет затенена половина ячейки.
Введите дату начала задачи в ячейке E9.
Введите дату завершения задачи в ячейке E9.
В блоках ячеек от I9 до BL9 отображается строка состояния для введенных дат. </t>
  </si>
  <si>
    <t>Ячейка справа содержит пример заголовка фазы 2. 
Вы можете в любой момент создать фазу в столбце B. В этом расписании проекта не обязательно использовать фазы. Чтобы удалить фазу, просто удалите строку.
Чтобы создать блок фазы в этой строке, введите новый заголовок в ячейке справа.
Чтобы продолжить добавлять задачи в представленную выше фазу, добавьте новую строку над этой строкой и укажите данные о задаче, следуя инструкциям из ячейки A9.
Обновите сведения о фазе в ячейке справа, следуя инструкциям из ячейки A8.
Чтобы узнать больше, переходите к последующим ячейкам столбца A.
Если на этот лист не добавлялось никаких строк, то вы обнаружите, что в ячейках B20 и B26 были автоматически созданы два дополнительных примера блоков фаз. В противном случае переходите по ячейкам столбца A, чтобы найти дополнительные блоки. 
По мере необходимости повторяйте инструкции из ячеек A8 и A9.</t>
  </si>
  <si>
    <t>Пример блока с заголовком фазы</t>
  </si>
  <si>
    <t>Эта строка обозначает окончание расписания проекта. НЕ вводите ничего в этой строке. 
Вставляйте новые строки НАД этой, чтобы продолжить составлять расписание проекта.</t>
  </si>
  <si>
    <t>ЗАДАЧА</t>
  </si>
  <si>
    <t>Вставляйте новые строки НАД этой.</t>
  </si>
  <si>
    <t>Начало проекта:</t>
  </si>
  <si>
    <t>Отображаемая неделя:</t>
  </si>
  <si>
    <t>КОМУ
НАЗНАЧЕНО</t>
  </si>
  <si>
    <t>ВЫПОЛНЕНО</t>
  </si>
  <si>
    <t>НАЧАЛО</t>
  </si>
  <si>
    <t>ЗАВЕРШЕНИЕ</t>
  </si>
  <si>
    <t>ДНИ</t>
  </si>
  <si>
    <t>ПРОСТАЯ ДИАГРАММА ГАНТА от Vertex42.com</t>
  </si>
  <si>
    <t>https://www.vertex42.com/ExcelTemplates/simple-gantt-chart.html</t>
  </si>
  <si>
    <t>Бронирование туров по России</t>
  </si>
  <si>
    <t>FreeChoice</t>
  </si>
  <si>
    <t>Камила А.Н</t>
  </si>
  <si>
    <t>Определение предметной области</t>
  </si>
  <si>
    <t>Определение предметной области и бизнес</t>
  </si>
  <si>
    <t>Камила - Фронтенд</t>
  </si>
  <si>
    <t>Описание входной и выходной информации</t>
  </si>
  <si>
    <t>Схема взаимодействия ПО</t>
  </si>
  <si>
    <t>Сергей - Фронтенд</t>
  </si>
  <si>
    <t>Use-case</t>
  </si>
  <si>
    <t>Диаграмма классов</t>
  </si>
  <si>
    <t>Прототип</t>
  </si>
  <si>
    <t>Разработка Базы данных</t>
  </si>
  <si>
    <t>Создание базы данных</t>
  </si>
  <si>
    <t>Айнур - Backend</t>
  </si>
  <si>
    <t>Описание структуры Базы данных</t>
  </si>
  <si>
    <t>Разработка API</t>
  </si>
  <si>
    <t>Импорт БД в API-проект</t>
  </si>
  <si>
    <t>Создание основных контроллеров</t>
  </si>
  <si>
    <t>Описание структуры API</t>
  </si>
  <si>
    <t>Тестирование API-запрос</t>
  </si>
  <si>
    <t>Разработка веб-приложения</t>
  </si>
  <si>
    <t>Создание vue-проекта и импорт библиотек</t>
  </si>
  <si>
    <t>Верстка страниц</t>
  </si>
  <si>
    <t>Подключение API-запрос</t>
  </si>
  <si>
    <t>Тестирование веб-приложения</t>
  </si>
  <si>
    <t>Создание руководства пользователя</t>
  </si>
  <si>
    <t>Диаграмма развёртывания</t>
  </si>
  <si>
    <t>Диаграмма Ганта</t>
  </si>
  <si>
    <t>Техническое задание</t>
  </si>
  <si>
    <t>Разработка декстоп-приложения</t>
  </si>
  <si>
    <t>Создание декстоп-проекта и импорт библиотек</t>
  </si>
  <si>
    <t>Создание окон</t>
  </si>
  <si>
    <t>Тестирование декстоп-приложения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</si>
</sst>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(* #,##0_);_(* \(#,##0\);_(* &quot;-&quot;_);_(@_)"/>
    <numFmt numFmtId="165" formatCode="_(* #,##0.00_);_(* \(#,##0.00\);_(* &quot;-&quot;??_);_(@_)"/>
    <numFmt numFmtId="166" formatCode="m/d/yy;@"/>
    <numFmt numFmtId="167" formatCode="ddd\,\ m/d/yyyy"/>
    <numFmt numFmtId="168" formatCode="_-* #,##0.00\ &quot;lei&quot;_-;\-* #,##0.00\ &quot;lei&quot;_-;_-* &quot;-&quot;??\ &quot;lei&quot;_-;_-@_-"/>
    <numFmt numFmtId="169" formatCode="_-* #,##0\ &quot;lei&quot;_-;\-* #,##0\ &quot;lei&quot;_-;_-* &quot;-&quot;\ &quot;lei&quot;_-;_-@_-"/>
    <numFmt numFmtId="170" formatCode="[$-418]d\ mmmm\ yyyy;@"/>
    <numFmt numFmtId="171" formatCode="d\.m\.yy;@"/>
    <numFmt numFmtId="172" formatCode="d"/>
    <numFmt numFmtId="173" formatCode="d/m/yy;@"/>
  </numFmts>
  <fonts count="31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Arial"/>
      <family val="2"/>
    </font>
    <font>
      <i/>
      <sz val="9"/>
      <color theme="0" tint="-4.9989318521683403E-2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/>
    <xf numFmtId="0" fontId="16" fillId="0" borderId="0"/>
    <xf numFmtId="165" fontId="9" fillId="0" borderId="3" applyFon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Alignment="0" applyProtection="0"/>
    <xf numFmtId="0" fontId="10" fillId="0" borderId="0" applyNumberFormat="0" applyFill="0" applyProtection="0">
      <alignment vertical="top"/>
    </xf>
    <xf numFmtId="0" fontId="9" fillId="0" borderId="0" applyNumberFormat="0" applyFill="0" applyProtection="0">
      <alignment horizontal="right" indent="1"/>
    </xf>
    <xf numFmtId="167" fontId="9" fillId="0" borderId="3">
      <alignment horizontal="center" vertical="center"/>
    </xf>
    <xf numFmtId="166" fontId="9" fillId="0" borderId="2" applyFill="0">
      <alignment horizontal="center" vertical="center"/>
    </xf>
    <xf numFmtId="0" fontId="9" fillId="0" borderId="2" applyFill="0">
      <alignment horizontal="center" vertical="center"/>
    </xf>
    <xf numFmtId="0" fontId="9" fillId="0" borderId="2" applyFill="0">
      <alignment horizontal="left" vertical="center" indent="2"/>
    </xf>
    <xf numFmtId="0" fontId="17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11" applyNumberFormat="0" applyAlignment="0" applyProtection="0"/>
    <xf numFmtId="0" fontId="23" fillId="18" borderId="12" applyNumberFormat="0" applyAlignment="0" applyProtection="0"/>
    <xf numFmtId="0" fontId="24" fillId="18" borderId="11" applyNumberFormat="0" applyAlignment="0" applyProtection="0"/>
    <xf numFmtId="0" fontId="25" fillId="0" borderId="13" applyNumberFormat="0" applyFill="0" applyAlignment="0" applyProtection="0"/>
    <xf numFmtId="0" fontId="26" fillId="19" borderId="14" applyNumberFormat="0" applyAlignment="0" applyProtection="0"/>
    <xf numFmtId="0" fontId="27" fillId="0" borderId="0" applyNumberFormat="0" applyFill="0" applyBorder="0" applyAlignment="0" applyProtection="0"/>
    <xf numFmtId="0" fontId="9" fillId="20" borderId="15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16" applyNumberFormat="0" applyFill="0" applyAlignment="0" applyProtection="0"/>
    <xf numFmtId="0" fontId="16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16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16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16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16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16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indent="1"/>
    </xf>
    <xf numFmtId="0" fontId="7" fillId="1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1" applyFont="1" applyAlignment="1" applyProtection="1"/>
    <xf numFmtId="0" fontId="5" fillId="0" borderId="2" xfId="0" applyFont="1" applyBorder="1" applyAlignment="1">
      <alignment horizontal="center" vertical="center"/>
    </xf>
    <xf numFmtId="9" fontId="5" fillId="8" borderId="2" xfId="2" applyFont="1" applyFill="1" applyBorder="1" applyAlignment="1">
      <alignment horizontal="center" vertical="center"/>
    </xf>
    <xf numFmtId="9" fontId="5" fillId="3" borderId="2" xfId="2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indent="1"/>
    </xf>
    <xf numFmtId="9" fontId="5" fillId="9" borderId="2" xfId="2" applyFont="1" applyFill="1" applyBorder="1" applyAlignment="1">
      <alignment horizontal="center" vertical="center"/>
    </xf>
    <xf numFmtId="9" fontId="5" fillId="4" borderId="2" xfId="2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9" fontId="5" fillId="6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9" fontId="5" fillId="5" borderId="2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6" fillId="0" borderId="0" xfId="3"/>
    <xf numFmtId="0" fontId="16" fillId="0" borderId="0" xfId="3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13" fillId="0" borderId="0" xfId="5" applyAlignment="1">
      <alignment horizontal="left"/>
    </xf>
    <xf numFmtId="0" fontId="10" fillId="0" borderId="0" xfId="6"/>
    <xf numFmtId="0" fontId="10" fillId="0" borderId="0" xfId="7">
      <alignment vertical="top"/>
    </xf>
    <xf numFmtId="0" fontId="9" fillId="8" borderId="2" xfId="11" applyFill="1">
      <alignment horizontal="center" vertical="center"/>
    </xf>
    <xf numFmtId="0" fontId="9" fillId="9" borderId="2" xfId="11" applyFill="1">
      <alignment horizontal="center" vertical="center"/>
    </xf>
    <xf numFmtId="0" fontId="9" fillId="6" borderId="2" xfId="11" applyFill="1">
      <alignment horizontal="center" vertical="center"/>
    </xf>
    <xf numFmtId="0" fontId="9" fillId="5" borderId="2" xfId="11" applyFill="1">
      <alignment horizontal="center" vertical="center"/>
    </xf>
    <xf numFmtId="0" fontId="0" fillId="0" borderId="10" xfId="0" applyBorder="1"/>
    <xf numFmtId="171" fontId="4" fillId="2" borderId="2" xfId="0" applyNumberFormat="1" applyFont="1" applyFill="1" applyBorder="1" applyAlignment="1">
      <alignment horizontal="left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12" fillId="12" borderId="8" xfId="0" applyNumberFormat="1" applyFont="1" applyFill="1" applyBorder="1" applyAlignment="1">
      <alignment horizontal="center" vertical="center" shrinkToFit="1"/>
    </xf>
    <xf numFmtId="172" fontId="11" fillId="7" borderId="6" xfId="0" applyNumberFormat="1" applyFont="1" applyFill="1" applyBorder="1" applyAlignment="1">
      <alignment horizontal="center" vertical="center"/>
    </xf>
    <xf numFmtId="172" fontId="11" fillId="7" borderId="0" xfId="0" applyNumberFormat="1" applyFont="1" applyFill="1" applyAlignment="1">
      <alignment horizontal="center" vertical="center"/>
    </xf>
    <xf numFmtId="172" fontId="11" fillId="7" borderId="7" xfId="0" applyNumberFormat="1" applyFont="1" applyFill="1" applyBorder="1" applyAlignment="1">
      <alignment horizontal="center" vertical="center"/>
    </xf>
    <xf numFmtId="173" fontId="0" fillId="8" borderId="2" xfId="0" applyNumberFormat="1" applyFill="1" applyBorder="1" applyAlignment="1">
      <alignment horizontal="center" vertical="center"/>
    </xf>
    <xf numFmtId="173" fontId="5" fillId="8" borderId="2" xfId="0" applyNumberFormat="1" applyFont="1" applyFill="1" applyBorder="1" applyAlignment="1">
      <alignment horizontal="center" vertical="center"/>
    </xf>
    <xf numFmtId="173" fontId="9" fillId="3" borderId="2" xfId="10" applyNumberFormat="1" applyFill="1">
      <alignment horizontal="center" vertical="center"/>
    </xf>
    <xf numFmtId="173" fontId="0" fillId="9" borderId="2" xfId="0" applyNumberFormat="1" applyFill="1" applyBorder="1" applyAlignment="1">
      <alignment horizontal="center" vertical="center"/>
    </xf>
    <xf numFmtId="173" fontId="5" fillId="9" borderId="2" xfId="0" applyNumberFormat="1" applyFont="1" applyFill="1" applyBorder="1" applyAlignment="1">
      <alignment horizontal="center" vertical="center"/>
    </xf>
    <xf numFmtId="173" fontId="9" fillId="4" borderId="2" xfId="10" applyNumberFormat="1" applyFill="1">
      <alignment horizontal="center" vertical="center"/>
    </xf>
    <xf numFmtId="173" fontId="0" fillId="6" borderId="2" xfId="0" applyNumberFormat="1" applyFill="1" applyBorder="1" applyAlignment="1">
      <alignment horizontal="center" vertical="center"/>
    </xf>
    <xf numFmtId="173" fontId="5" fillId="6" borderId="2" xfId="0" applyNumberFormat="1" applyFont="1" applyFill="1" applyBorder="1" applyAlignment="1">
      <alignment horizontal="center" vertical="center"/>
    </xf>
    <xf numFmtId="173" fontId="9" fillId="11" borderId="2" xfId="10" applyNumberFormat="1" applyFill="1">
      <alignment horizontal="center" vertical="center"/>
    </xf>
    <xf numFmtId="173" fontId="0" fillId="5" borderId="2" xfId="0" applyNumberFormat="1" applyFill="1" applyBorder="1" applyAlignment="1">
      <alignment horizontal="center" vertical="center"/>
    </xf>
    <xf numFmtId="173" fontId="5" fillId="5" borderId="2" xfId="0" applyNumberFormat="1" applyFont="1" applyFill="1" applyBorder="1" applyAlignment="1">
      <alignment horizontal="center" vertical="center"/>
    </xf>
    <xf numFmtId="173" fontId="9" fillId="10" borderId="2" xfId="10" applyNumberFormat="1" applyFill="1">
      <alignment horizontal="center" vertical="center"/>
    </xf>
    <xf numFmtId="0" fontId="0" fillId="3" borderId="2" xfId="12" applyFont="1" applyFill="1">
      <alignment horizontal="left" vertical="center" indent="2"/>
    </xf>
    <xf numFmtId="0" fontId="6" fillId="8" borderId="2" xfId="0" applyFont="1" applyFill="1" applyBorder="1" applyAlignment="1">
      <alignment horizontal="left" vertical="center" wrapText="1" indent="1"/>
    </xf>
    <xf numFmtId="0" fontId="0" fillId="3" borderId="2" xfId="12" applyFont="1" applyFill="1" applyAlignment="1">
      <alignment horizontal="left" vertical="center" wrapText="1" indent="2"/>
    </xf>
    <xf numFmtId="0" fontId="0" fillId="3" borderId="2" xfId="11" applyFont="1" applyFill="1">
      <alignment horizontal="center" vertical="center"/>
    </xf>
    <xf numFmtId="0" fontId="0" fillId="3" borderId="2" xfId="12" applyFont="1" applyFill="1" applyAlignment="1">
      <alignment horizontal="left" vertical="center" indent="2"/>
    </xf>
    <xf numFmtId="0" fontId="26" fillId="0" borderId="0" xfId="0" applyFont="1"/>
    <xf numFmtId="0" fontId="16" fillId="0" borderId="0" xfId="0" applyFont="1"/>
    <xf numFmtId="0" fontId="29" fillId="0" borderId="0" xfId="1" applyFont="1" applyProtection="1">
      <alignment vertical="top"/>
    </xf>
    <xf numFmtId="0" fontId="0" fillId="4" borderId="2" xfId="12" applyFont="1" applyFill="1">
      <alignment horizontal="left" vertical="center" indent="2"/>
    </xf>
    <xf numFmtId="0" fontId="0" fillId="4" borderId="2" xfId="11" applyFont="1" applyFill="1">
      <alignment horizontal="center" vertical="center"/>
    </xf>
    <xf numFmtId="0" fontId="0" fillId="4" borderId="2" xfId="12" applyFont="1" applyFill="1" applyAlignment="1">
      <alignment horizontal="left" vertical="center" wrapText="1" indent="2"/>
    </xf>
    <xf numFmtId="0" fontId="0" fillId="11" borderId="2" xfId="12" applyFont="1" applyFill="1">
      <alignment horizontal="left" vertical="center" indent="2"/>
    </xf>
    <xf numFmtId="0" fontId="0" fillId="11" borderId="2" xfId="12" applyFont="1" applyFill="1" applyAlignment="1">
      <alignment horizontal="left" vertical="center" wrapText="1" indent="2"/>
    </xf>
    <xf numFmtId="0" fontId="0" fillId="11" borderId="2" xfId="11" applyFont="1" applyFill="1">
      <alignment horizontal="center" vertical="center"/>
    </xf>
    <xf numFmtId="0" fontId="0" fillId="10" borderId="2" xfId="12" applyFont="1" applyFill="1">
      <alignment horizontal="left" vertical="center" indent="2"/>
    </xf>
    <xf numFmtId="0" fontId="0" fillId="10" borderId="2" xfId="12" applyFont="1" applyFill="1" applyAlignment="1">
      <alignment horizontal="left" vertical="center" wrapText="1" indent="2"/>
    </xf>
    <xf numFmtId="0" fontId="0" fillId="10" borderId="2" xfId="11" applyFont="1" applyFill="1">
      <alignment horizontal="center" vertical="center"/>
    </xf>
    <xf numFmtId="0" fontId="30" fillId="2" borderId="2" xfId="0" applyFont="1" applyFill="1" applyBorder="1" applyAlignment="1">
      <alignment horizontal="left" vertical="center" indent="1"/>
    </xf>
    <xf numFmtId="173" fontId="0" fillId="10" borderId="2" xfId="10" applyNumberFormat="1" applyFont="1" applyFill="1">
      <alignment horizontal="center" vertical="center"/>
    </xf>
    <xf numFmtId="9" fontId="5" fillId="45" borderId="2" xfId="2" applyFont="1" applyFill="1" applyBorder="1" applyAlignment="1">
      <alignment horizontal="center" vertical="center"/>
    </xf>
    <xf numFmtId="0" fontId="6" fillId="46" borderId="2" xfId="0" applyFont="1" applyFill="1" applyBorder="1" applyAlignment="1">
      <alignment horizontal="left" vertical="center" indent="1"/>
    </xf>
    <xf numFmtId="0" fontId="9" fillId="46" borderId="2" xfId="11" applyFill="1">
      <alignment horizontal="center" vertical="center"/>
    </xf>
    <xf numFmtId="9" fontId="5" fillId="46" borderId="2" xfId="2" applyFont="1" applyFill="1" applyBorder="1" applyAlignment="1">
      <alignment horizontal="center" vertical="center"/>
    </xf>
    <xf numFmtId="173" fontId="0" fillId="46" borderId="2" xfId="0" applyNumberFormat="1" applyFill="1" applyBorder="1" applyAlignment="1">
      <alignment horizontal="center" vertical="center"/>
    </xf>
    <xf numFmtId="173" fontId="5" fillId="46" borderId="2" xfId="0" applyNumberFormat="1" applyFont="1" applyFill="1" applyBorder="1" applyAlignment="1">
      <alignment horizontal="center" vertical="center"/>
    </xf>
    <xf numFmtId="0" fontId="0" fillId="45" borderId="2" xfId="12" applyFont="1" applyFill="1" applyAlignment="1">
      <alignment horizontal="left" vertical="center" wrapText="1" indent="2"/>
    </xf>
    <xf numFmtId="0" fontId="0" fillId="45" borderId="2" xfId="11" applyFont="1" applyFill="1">
      <alignment horizontal="center" vertical="center"/>
    </xf>
    <xf numFmtId="173" fontId="9" fillId="45" borderId="2" xfId="10" applyNumberFormat="1" applyFill="1">
      <alignment horizontal="center" vertical="center"/>
    </xf>
    <xf numFmtId="0" fontId="0" fillId="45" borderId="2" xfId="12" applyFont="1" applyFill="1">
      <alignment horizontal="left" vertical="center" indent="2"/>
    </xf>
    <xf numFmtId="173" fontId="0" fillId="45" borderId="2" xfId="10" applyNumberFormat="1" applyFont="1" applyFill="1">
      <alignment horizontal="center" vertical="center"/>
    </xf>
    <xf numFmtId="0" fontId="9" fillId="0" borderId="0" xfId="8">
      <alignment horizontal="right" indent="1"/>
    </xf>
    <xf numFmtId="0" fontId="9" fillId="0" borderId="7" xfId="8" applyBorder="1">
      <alignment horizontal="right" indent="1"/>
    </xf>
    <xf numFmtId="170" fontId="0" fillId="7" borderId="4" xfId="0" applyNumberFormat="1" applyFill="1" applyBorder="1" applyAlignment="1">
      <alignment horizontal="left" vertical="center" wrapText="1" indent="1"/>
    </xf>
    <xf numFmtId="170" fontId="0" fillId="7" borderId="1" xfId="0" applyNumberFormat="1" applyFill="1" applyBorder="1" applyAlignment="1">
      <alignment horizontal="left" vertical="center" wrapText="1" indent="1"/>
    </xf>
    <xf numFmtId="170" fontId="0" fillId="7" borderId="5" xfId="0" applyNumberFormat="1" applyFill="1" applyBorder="1" applyAlignment="1">
      <alignment horizontal="left" vertical="center" wrapText="1" indent="1"/>
    </xf>
    <xf numFmtId="14" fontId="9" fillId="0" borderId="3" xfId="9" applyNumberFormat="1">
      <alignment horizontal="center" vertical="center"/>
    </xf>
  </cellXfs>
  <cellStyles count="54">
    <cellStyle name="20% — акцент1" xfId="31" builtinId="30" customBuiltin="1"/>
    <cellStyle name="20% — акцент2" xfId="35" builtinId="34" customBuiltin="1"/>
    <cellStyle name="20% — акцент3" xfId="39" builtinId="38" customBuiltin="1"/>
    <cellStyle name="20% — акцент4" xfId="43" builtinId="42" customBuiltin="1"/>
    <cellStyle name="20% — акцент5" xfId="47" builtinId="46" customBuiltin="1"/>
    <cellStyle name="20% — акцент6" xfId="51" builtinId="50" customBuiltin="1"/>
    <cellStyle name="40% — акцент1" xfId="32" builtinId="31" customBuiltin="1"/>
    <cellStyle name="40% — акцент2" xfId="36" builtinId="35" customBuiltin="1"/>
    <cellStyle name="40% — акцент3" xfId="40" builtinId="39" customBuiltin="1"/>
    <cellStyle name="40% — акцент4" xfId="44" builtinId="43" customBuiltin="1"/>
    <cellStyle name="40% — акцент5" xfId="48" builtinId="47" customBuiltin="1"/>
    <cellStyle name="40% — акцент6" xfId="52" builtinId="51" customBuiltin="1"/>
    <cellStyle name="60% — акцент1" xfId="33" builtinId="32" customBuiltin="1"/>
    <cellStyle name="60% — акцент2" xfId="37" builtinId="36" customBuiltin="1"/>
    <cellStyle name="60% — акцент3" xfId="41" builtinId="40" customBuiltin="1"/>
    <cellStyle name="60% — акцент4" xfId="45" builtinId="44" customBuiltin="1"/>
    <cellStyle name="60% — акцент5" xfId="49" builtinId="48" customBuiltin="1"/>
    <cellStyle name="60% — акцент6" xfId="53" builtinId="52" customBuiltin="1"/>
    <cellStyle name="zСкрытыйТекст" xfId="3"/>
    <cellStyle name="Акцент1" xfId="30" builtinId="29" customBuiltin="1"/>
    <cellStyle name="Акцент2" xfId="34" builtinId="33" customBuiltin="1"/>
    <cellStyle name="Акцент3" xfId="38" builtinId="37" customBuiltin="1"/>
    <cellStyle name="Акцент4" xfId="42" builtinId="41" customBuiltin="1"/>
    <cellStyle name="Акцент5" xfId="46" builtinId="45" customBuiltin="1"/>
    <cellStyle name="Акцент6" xfId="50" builtinId="49" customBuiltin="1"/>
    <cellStyle name="Ввод " xfId="21" builtinId="20" customBuiltin="1"/>
    <cellStyle name="Вывод" xfId="22" builtinId="21" customBuiltin="1"/>
    <cellStyle name="Вычисление" xfId="23" builtinId="22" customBuiltin="1"/>
    <cellStyle name="Гиперссылка" xfId="1" builtinId="8" customBuiltin="1"/>
    <cellStyle name="Дата" xfId="10"/>
    <cellStyle name="Денежный" xfId="15" builtinId="4" customBuiltin="1"/>
    <cellStyle name="Денежный [0]" xfId="16" builtinId="7" customBuiltin="1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17" builtinId="19" customBuiltin="1"/>
    <cellStyle name="Задача" xfId="12"/>
    <cellStyle name="Имя" xfId="11"/>
    <cellStyle name="Итог" xfId="29" builtinId="25" customBuiltin="1"/>
    <cellStyle name="Контрольная ячейка" xfId="25" builtinId="23" customBuiltin="1"/>
    <cellStyle name="Название" xfId="5" builtinId="15" customBuiltin="1"/>
    <cellStyle name="Начало проекта" xfId="9"/>
    <cellStyle name="Нейтральный" xfId="20" builtinId="28" customBuiltin="1"/>
    <cellStyle name="Обычный" xfId="0" builtinId="0" customBuiltin="1"/>
    <cellStyle name="Открывавшаяся гиперссылка" xfId="13" builtinId="9" customBuiltin="1"/>
    <cellStyle name="Плохой" xfId="19" builtinId="27" customBuiltin="1"/>
    <cellStyle name="Пояснение" xfId="28" builtinId="53" customBuiltin="1"/>
    <cellStyle name="Примечание" xfId="27" builtinId="10" customBuiltin="1"/>
    <cellStyle name="Процентный" xfId="2" builtinId="5" customBuiltin="1"/>
    <cellStyle name="Связанная ячейка" xfId="24" builtinId="24" customBuiltin="1"/>
    <cellStyle name="Текст предупреждения" xfId="26" builtinId="11" customBuiltin="1"/>
    <cellStyle name="Финансовый" xfId="4" builtinId="3" customBuiltin="1"/>
    <cellStyle name="Финансовый [0]" xfId="14" builtinId="6" customBuiltin="1"/>
    <cellStyle name="Хороший" xfId="18" builtinId="26" customBuiltin="1"/>
  </cellStyles>
  <dxfs count="30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СписокДел" pivot="0" count="9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secondRowStripe" dxfId="23"/>
      <tableStyleElement type="firstColumnStripe" dxfId="22"/>
      <tableStyleElement type="secondColumnStrip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simple-gantt-chart.html?utm_source=ms&amp;utm_medium=file&amp;utm_campaign=office&amp;utm_content=url" TargetMode="External"/><Relationship Id="rId1" Type="http://schemas.openxmlformats.org/officeDocument/2006/relationships/hyperlink" Target="https://www.vertex42.com/ExcelTemplates/simple-gantt-chart.html?utm_source=ms&amp;utm_medium=file&amp;utm_campaign=office&amp;utm_content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L40"/>
  <sheetViews>
    <sheetView showGridLines="0" tabSelected="1" showRuler="0" zoomScaleNormal="100" zoomScalePageLayoutView="70" workbookViewId="0">
      <pane ySplit="6" topLeftCell="A31" activePane="bottomLeft" state="frozen"/>
      <selection pane="bottomLeft" activeCell="K35" sqref="K35"/>
    </sheetView>
  </sheetViews>
  <sheetFormatPr defaultRowHeight="30" customHeight="1" x14ac:dyDescent="0.3"/>
  <cols>
    <col min="1" max="1" width="2.6640625" style="29" customWidth="1"/>
    <col min="2" max="2" width="26.21875" customWidth="1"/>
    <col min="3" max="3" width="30.6640625" customWidth="1"/>
    <col min="4" max="4" width="10.6640625" customWidth="1"/>
    <col min="5" max="5" width="10.44140625" style="5" customWidth="1"/>
    <col min="6" max="6" width="10.44140625" customWidth="1"/>
    <col min="7" max="7" width="2.6640625" customWidth="1"/>
    <col min="8" max="8" width="6.109375" hidden="1" customWidth="1"/>
    <col min="9" max="64" width="2.77734375" customWidth="1"/>
    <col min="69" max="70" width="10.33203125"/>
  </cols>
  <sheetData>
    <row r="1" spans="1:64" ht="30" customHeight="1" x14ac:dyDescent="0.55000000000000004">
      <c r="A1" s="30" t="s">
        <v>0</v>
      </c>
      <c r="B1" s="33" t="s">
        <v>23</v>
      </c>
      <c r="C1" s="1"/>
      <c r="D1" s="2"/>
      <c r="E1" s="4"/>
      <c r="F1" s="28"/>
      <c r="H1" s="2"/>
      <c r="I1" s="64" t="s">
        <v>21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64" ht="16.2" customHeight="1" x14ac:dyDescent="0.35">
      <c r="A2" s="29" t="s">
        <v>1</v>
      </c>
      <c r="B2" s="34" t="s">
        <v>24</v>
      </c>
      <c r="I2" s="66" t="s">
        <v>22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64" ht="30" customHeight="1" x14ac:dyDescent="0.3">
      <c r="A3" s="29" t="s">
        <v>2</v>
      </c>
      <c r="B3" s="35" t="s">
        <v>25</v>
      </c>
      <c r="C3" s="89" t="s">
        <v>14</v>
      </c>
      <c r="D3" s="90"/>
      <c r="E3" s="94">
        <v>45915</v>
      </c>
      <c r="F3" s="94"/>
    </row>
    <row r="4" spans="1:64" ht="21" customHeight="1" x14ac:dyDescent="0.3">
      <c r="A4" s="30" t="s">
        <v>3</v>
      </c>
      <c r="C4" s="89" t="s">
        <v>15</v>
      </c>
      <c r="D4" s="90"/>
      <c r="E4" s="7">
        <v>1</v>
      </c>
      <c r="I4" s="91">
        <f>I5</f>
        <v>45915</v>
      </c>
      <c r="J4" s="92"/>
      <c r="K4" s="92"/>
      <c r="L4" s="92"/>
      <c r="M4" s="92"/>
      <c r="N4" s="92"/>
      <c r="O4" s="93"/>
      <c r="P4" s="91">
        <f>P5</f>
        <v>45922</v>
      </c>
      <c r="Q4" s="92"/>
      <c r="R4" s="92"/>
      <c r="S4" s="92"/>
      <c r="T4" s="92"/>
      <c r="U4" s="92"/>
      <c r="V4" s="93"/>
      <c r="W4" s="91">
        <f>W5</f>
        <v>45929</v>
      </c>
      <c r="X4" s="92"/>
      <c r="Y4" s="92"/>
      <c r="Z4" s="92"/>
      <c r="AA4" s="92"/>
      <c r="AB4" s="92"/>
      <c r="AC4" s="93"/>
      <c r="AD4" s="91">
        <f>AD5</f>
        <v>45936</v>
      </c>
      <c r="AE4" s="92"/>
      <c r="AF4" s="92"/>
      <c r="AG4" s="92"/>
      <c r="AH4" s="92"/>
      <c r="AI4" s="92"/>
      <c r="AJ4" s="93"/>
      <c r="AK4" s="91">
        <f>AK5</f>
        <v>45943</v>
      </c>
      <c r="AL4" s="92"/>
      <c r="AM4" s="92"/>
      <c r="AN4" s="92"/>
      <c r="AO4" s="92"/>
      <c r="AP4" s="92"/>
      <c r="AQ4" s="93"/>
      <c r="AR4" s="91">
        <f>AR5</f>
        <v>45950</v>
      </c>
      <c r="AS4" s="92"/>
      <c r="AT4" s="92"/>
      <c r="AU4" s="92"/>
      <c r="AV4" s="92"/>
      <c r="AW4" s="92"/>
      <c r="AX4" s="93"/>
      <c r="AY4" s="91">
        <f>AY5</f>
        <v>45957</v>
      </c>
      <c r="AZ4" s="92"/>
      <c r="BA4" s="92"/>
      <c r="BB4" s="92"/>
      <c r="BC4" s="92"/>
      <c r="BD4" s="92"/>
      <c r="BE4" s="93"/>
      <c r="BF4" s="91">
        <f>BF5</f>
        <v>45964</v>
      </c>
      <c r="BG4" s="92"/>
      <c r="BH4" s="92"/>
      <c r="BI4" s="92"/>
      <c r="BJ4" s="92"/>
      <c r="BK4" s="92"/>
      <c r="BL4" s="93"/>
    </row>
    <row r="5" spans="1:64" ht="15" customHeight="1" x14ac:dyDescent="0.3">
      <c r="A5" s="30" t="s">
        <v>4</v>
      </c>
      <c r="B5" s="40"/>
      <c r="C5" s="40"/>
      <c r="D5" s="40"/>
      <c r="E5" s="40"/>
      <c r="F5" s="40"/>
      <c r="G5" s="40"/>
      <c r="I5" s="44">
        <f>Начало_проекта-WEEKDAY(Начало_проекта,1)+2+7*(Отображение_недели-1)</f>
        <v>45915</v>
      </c>
      <c r="J5" s="45">
        <f>I5+1</f>
        <v>45916</v>
      </c>
      <c r="K5" s="45">
        <f t="shared" ref="K5:AX5" si="0">J5+1</f>
        <v>45917</v>
      </c>
      <c r="L5" s="45">
        <f t="shared" si="0"/>
        <v>45918</v>
      </c>
      <c r="M5" s="45">
        <f t="shared" si="0"/>
        <v>45919</v>
      </c>
      <c r="N5" s="45">
        <f t="shared" si="0"/>
        <v>45920</v>
      </c>
      <c r="O5" s="46">
        <f t="shared" si="0"/>
        <v>45921</v>
      </c>
      <c r="P5" s="44">
        <f>O5+1</f>
        <v>45922</v>
      </c>
      <c r="Q5" s="45">
        <f>P5+1</f>
        <v>45923</v>
      </c>
      <c r="R5" s="45">
        <f t="shared" si="0"/>
        <v>45924</v>
      </c>
      <c r="S5" s="45">
        <f t="shared" si="0"/>
        <v>45925</v>
      </c>
      <c r="T5" s="45">
        <f t="shared" si="0"/>
        <v>45926</v>
      </c>
      <c r="U5" s="45">
        <f t="shared" si="0"/>
        <v>45927</v>
      </c>
      <c r="V5" s="46">
        <f t="shared" si="0"/>
        <v>45928</v>
      </c>
      <c r="W5" s="44">
        <f>V5+1</f>
        <v>45929</v>
      </c>
      <c r="X5" s="45">
        <f>W5+1</f>
        <v>45930</v>
      </c>
      <c r="Y5" s="45">
        <f t="shared" si="0"/>
        <v>45931</v>
      </c>
      <c r="Z5" s="45">
        <f t="shared" si="0"/>
        <v>45932</v>
      </c>
      <c r="AA5" s="45">
        <f t="shared" si="0"/>
        <v>45933</v>
      </c>
      <c r="AB5" s="45">
        <f t="shared" si="0"/>
        <v>45934</v>
      </c>
      <c r="AC5" s="46">
        <f t="shared" si="0"/>
        <v>45935</v>
      </c>
      <c r="AD5" s="44">
        <f>AC5+1</f>
        <v>45936</v>
      </c>
      <c r="AE5" s="45">
        <f>AD5+1</f>
        <v>45937</v>
      </c>
      <c r="AF5" s="45">
        <f t="shared" si="0"/>
        <v>45938</v>
      </c>
      <c r="AG5" s="45">
        <f t="shared" si="0"/>
        <v>45939</v>
      </c>
      <c r="AH5" s="45">
        <f t="shared" si="0"/>
        <v>45940</v>
      </c>
      <c r="AI5" s="45">
        <f t="shared" si="0"/>
        <v>45941</v>
      </c>
      <c r="AJ5" s="46">
        <f t="shared" si="0"/>
        <v>45942</v>
      </c>
      <c r="AK5" s="44">
        <f>AJ5+1</f>
        <v>45943</v>
      </c>
      <c r="AL5" s="45">
        <f>AK5+1</f>
        <v>45944</v>
      </c>
      <c r="AM5" s="45">
        <f t="shared" si="0"/>
        <v>45945</v>
      </c>
      <c r="AN5" s="45">
        <f t="shared" si="0"/>
        <v>45946</v>
      </c>
      <c r="AO5" s="45">
        <f t="shared" si="0"/>
        <v>45947</v>
      </c>
      <c r="AP5" s="45">
        <f t="shared" si="0"/>
        <v>45948</v>
      </c>
      <c r="AQ5" s="46">
        <f t="shared" si="0"/>
        <v>45949</v>
      </c>
      <c r="AR5" s="44">
        <f>AQ5+1</f>
        <v>45950</v>
      </c>
      <c r="AS5" s="45">
        <f>AR5+1</f>
        <v>45951</v>
      </c>
      <c r="AT5" s="45">
        <f t="shared" si="0"/>
        <v>45952</v>
      </c>
      <c r="AU5" s="45">
        <f t="shared" si="0"/>
        <v>45953</v>
      </c>
      <c r="AV5" s="45">
        <f t="shared" si="0"/>
        <v>45954</v>
      </c>
      <c r="AW5" s="45">
        <f t="shared" si="0"/>
        <v>45955</v>
      </c>
      <c r="AX5" s="46">
        <f t="shared" si="0"/>
        <v>45956</v>
      </c>
      <c r="AY5" s="44">
        <f>AX5+1</f>
        <v>45957</v>
      </c>
      <c r="AZ5" s="45">
        <f>AY5+1</f>
        <v>45958</v>
      </c>
      <c r="BA5" s="45">
        <f t="shared" ref="BA5:BE5" si="1">AZ5+1</f>
        <v>45959</v>
      </c>
      <c r="BB5" s="45">
        <f t="shared" si="1"/>
        <v>45960</v>
      </c>
      <c r="BC5" s="45">
        <f t="shared" si="1"/>
        <v>45961</v>
      </c>
      <c r="BD5" s="45">
        <f t="shared" si="1"/>
        <v>45962</v>
      </c>
      <c r="BE5" s="46">
        <f t="shared" si="1"/>
        <v>45963</v>
      </c>
      <c r="BF5" s="44">
        <f>BE5+1</f>
        <v>45964</v>
      </c>
      <c r="BG5" s="45">
        <f>BF5+1</f>
        <v>45965</v>
      </c>
      <c r="BH5" s="45">
        <f t="shared" ref="BH5:BL5" si="2">BG5+1</f>
        <v>45966</v>
      </c>
      <c r="BI5" s="45">
        <f t="shared" si="2"/>
        <v>45967</v>
      </c>
      <c r="BJ5" s="45">
        <f t="shared" si="2"/>
        <v>45968</v>
      </c>
      <c r="BK5" s="45">
        <f t="shared" si="2"/>
        <v>45969</v>
      </c>
      <c r="BL5" s="46">
        <f t="shared" si="2"/>
        <v>45970</v>
      </c>
    </row>
    <row r="6" spans="1:64" ht="30" customHeight="1" thickBot="1" x14ac:dyDescent="0.35">
      <c r="A6" s="30" t="s">
        <v>5</v>
      </c>
      <c r="B6" s="8" t="s">
        <v>12</v>
      </c>
      <c r="C6" s="9" t="s">
        <v>16</v>
      </c>
      <c r="D6" s="9" t="s">
        <v>17</v>
      </c>
      <c r="E6" s="9" t="s">
        <v>18</v>
      </c>
      <c r="F6" s="9" t="s">
        <v>19</v>
      </c>
      <c r="G6" s="9"/>
      <c r="H6" s="9" t="s">
        <v>20</v>
      </c>
      <c r="I6" s="43" t="str">
        <f>LEFT(TEXT(I5,"ДДД"),2)</f>
        <v>Пн</v>
      </c>
      <c r="J6" s="43" t="str">
        <f t="shared" ref="J6:BL6" si="3">LEFT(TEXT(J5,"ДДД"),2)</f>
        <v>Вт</v>
      </c>
      <c r="K6" s="43" t="str">
        <f t="shared" si="3"/>
        <v>Ср</v>
      </c>
      <c r="L6" s="43" t="str">
        <f t="shared" si="3"/>
        <v>Чт</v>
      </c>
      <c r="M6" s="43" t="str">
        <f t="shared" si="3"/>
        <v>Пт</v>
      </c>
      <c r="N6" s="43" t="str">
        <f t="shared" si="3"/>
        <v>Сб</v>
      </c>
      <c r="O6" s="43" t="str">
        <f t="shared" si="3"/>
        <v>Вс</v>
      </c>
      <c r="P6" s="43" t="str">
        <f t="shared" si="3"/>
        <v>Пн</v>
      </c>
      <c r="Q6" s="43" t="str">
        <f t="shared" si="3"/>
        <v>Вт</v>
      </c>
      <c r="R6" s="43" t="str">
        <f t="shared" si="3"/>
        <v>Ср</v>
      </c>
      <c r="S6" s="43" t="str">
        <f t="shared" si="3"/>
        <v>Чт</v>
      </c>
      <c r="T6" s="43" t="str">
        <f t="shared" si="3"/>
        <v>Пт</v>
      </c>
      <c r="U6" s="43" t="str">
        <f t="shared" si="3"/>
        <v>Сб</v>
      </c>
      <c r="V6" s="43" t="str">
        <f t="shared" si="3"/>
        <v>Вс</v>
      </c>
      <c r="W6" s="43" t="str">
        <f t="shared" si="3"/>
        <v>Пн</v>
      </c>
      <c r="X6" s="43" t="str">
        <f t="shared" si="3"/>
        <v>Вт</v>
      </c>
      <c r="Y6" s="43" t="str">
        <f t="shared" si="3"/>
        <v>Ср</v>
      </c>
      <c r="Z6" s="43" t="str">
        <f t="shared" si="3"/>
        <v>Чт</v>
      </c>
      <c r="AA6" s="43" t="str">
        <f t="shared" si="3"/>
        <v>Пт</v>
      </c>
      <c r="AB6" s="43" t="str">
        <f t="shared" si="3"/>
        <v>Сб</v>
      </c>
      <c r="AC6" s="43" t="str">
        <f t="shared" si="3"/>
        <v>Вс</v>
      </c>
      <c r="AD6" s="43" t="str">
        <f t="shared" si="3"/>
        <v>Пн</v>
      </c>
      <c r="AE6" s="43" t="str">
        <f t="shared" si="3"/>
        <v>Вт</v>
      </c>
      <c r="AF6" s="43" t="str">
        <f t="shared" si="3"/>
        <v>Ср</v>
      </c>
      <c r="AG6" s="43" t="str">
        <f t="shared" si="3"/>
        <v>Чт</v>
      </c>
      <c r="AH6" s="43" t="str">
        <f t="shared" si="3"/>
        <v>Пт</v>
      </c>
      <c r="AI6" s="43" t="str">
        <f t="shared" si="3"/>
        <v>Сб</v>
      </c>
      <c r="AJ6" s="43" t="str">
        <f t="shared" si="3"/>
        <v>Вс</v>
      </c>
      <c r="AK6" s="43" t="str">
        <f t="shared" si="3"/>
        <v>Пн</v>
      </c>
      <c r="AL6" s="43" t="str">
        <f t="shared" si="3"/>
        <v>Вт</v>
      </c>
      <c r="AM6" s="43" t="str">
        <f t="shared" si="3"/>
        <v>Ср</v>
      </c>
      <c r="AN6" s="43" t="str">
        <f t="shared" si="3"/>
        <v>Чт</v>
      </c>
      <c r="AO6" s="43" t="str">
        <f t="shared" si="3"/>
        <v>Пт</v>
      </c>
      <c r="AP6" s="43" t="str">
        <f t="shared" si="3"/>
        <v>Сб</v>
      </c>
      <c r="AQ6" s="43" t="str">
        <f t="shared" si="3"/>
        <v>Вс</v>
      </c>
      <c r="AR6" s="43" t="str">
        <f t="shared" si="3"/>
        <v>Пн</v>
      </c>
      <c r="AS6" s="43" t="str">
        <f t="shared" si="3"/>
        <v>Вт</v>
      </c>
      <c r="AT6" s="43" t="str">
        <f t="shared" si="3"/>
        <v>Ср</v>
      </c>
      <c r="AU6" s="43" t="str">
        <f t="shared" si="3"/>
        <v>Чт</v>
      </c>
      <c r="AV6" s="43" t="str">
        <f t="shared" si="3"/>
        <v>Пт</v>
      </c>
      <c r="AW6" s="43" t="str">
        <f t="shared" si="3"/>
        <v>Сб</v>
      </c>
      <c r="AX6" s="43" t="str">
        <f t="shared" si="3"/>
        <v>Вс</v>
      </c>
      <c r="AY6" s="43" t="str">
        <f t="shared" si="3"/>
        <v>Пн</v>
      </c>
      <c r="AZ6" s="43" t="str">
        <f t="shared" si="3"/>
        <v>Вт</v>
      </c>
      <c r="BA6" s="43" t="str">
        <f t="shared" si="3"/>
        <v>Ср</v>
      </c>
      <c r="BB6" s="43" t="str">
        <f t="shared" si="3"/>
        <v>Чт</v>
      </c>
      <c r="BC6" s="43" t="str">
        <f t="shared" si="3"/>
        <v>Пт</v>
      </c>
      <c r="BD6" s="43" t="str">
        <f t="shared" si="3"/>
        <v>Сб</v>
      </c>
      <c r="BE6" s="43" t="str">
        <f t="shared" si="3"/>
        <v>Вс</v>
      </c>
      <c r="BF6" s="43" t="str">
        <f t="shared" si="3"/>
        <v>Пн</v>
      </c>
      <c r="BG6" s="43" t="str">
        <f t="shared" si="3"/>
        <v>Вт</v>
      </c>
      <c r="BH6" s="43" t="str">
        <f t="shared" si="3"/>
        <v>Ср</v>
      </c>
      <c r="BI6" s="43" t="str">
        <f t="shared" si="3"/>
        <v>Чт</v>
      </c>
      <c r="BJ6" s="43" t="str">
        <f t="shared" si="3"/>
        <v>Пт</v>
      </c>
      <c r="BK6" s="43" t="str">
        <f t="shared" si="3"/>
        <v>Сб</v>
      </c>
      <c r="BL6" s="43" t="str">
        <f t="shared" si="3"/>
        <v>Вс</v>
      </c>
    </row>
    <row r="7" spans="1:64" ht="30" hidden="1" customHeight="1" thickBot="1" x14ac:dyDescent="0.35">
      <c r="A7" s="29" t="s">
        <v>6</v>
      </c>
      <c r="C7" s="32"/>
      <c r="E7"/>
      <c r="H7" t="str">
        <f>IF(OR(ISBLANK(начало_выполнения_задачи),ISBLANK(завершение_выполнения_задачи)),"",завершение_выполнения_задачи-начало_выполнения_задачи+1)</f>
        <v/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spans="1:64" s="3" customFormat="1" ht="30" customHeight="1" thickBot="1" x14ac:dyDescent="0.35">
      <c r="A8" s="30" t="s">
        <v>7</v>
      </c>
      <c r="B8" s="60" t="s">
        <v>27</v>
      </c>
      <c r="C8" s="36"/>
      <c r="D8" s="13"/>
      <c r="E8" s="47"/>
      <c r="F8" s="48"/>
      <c r="G8" s="12"/>
      <c r="H8" s="12" t="str">
        <f t="shared" ref="H8:H37" si="4">IF(OR(ISBLANK(начало_выполнения_задачи),ISBLANK(завершение_выполнения_задачи)),"",завершение_выполнения_задачи-начало_выполнения_задачи+1)</f>
        <v/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spans="1:64" s="3" customFormat="1" ht="30" customHeight="1" thickBot="1" x14ac:dyDescent="0.35">
      <c r="A9" s="30" t="s">
        <v>8</v>
      </c>
      <c r="B9" s="61" t="s">
        <v>26</v>
      </c>
      <c r="C9" s="62" t="s">
        <v>28</v>
      </c>
      <c r="D9" s="14">
        <v>1</v>
      </c>
      <c r="E9" s="49">
        <f>Начало_проекта</f>
        <v>45915</v>
      </c>
      <c r="F9" s="49">
        <v>45917</v>
      </c>
      <c r="G9" s="12"/>
      <c r="H9" s="12">
        <f t="shared" si="4"/>
        <v>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spans="1:64" s="3" customFormat="1" ht="30" customHeight="1" thickBot="1" x14ac:dyDescent="0.35">
      <c r="A10" s="29"/>
      <c r="B10" s="63" t="s">
        <v>30</v>
      </c>
      <c r="C10" s="62" t="s">
        <v>31</v>
      </c>
      <c r="D10" s="14">
        <v>1</v>
      </c>
      <c r="E10" s="49">
        <v>45917</v>
      </c>
      <c r="F10" s="49">
        <v>45918</v>
      </c>
      <c r="G10" s="12"/>
      <c r="H10" s="12">
        <f t="shared" si="4"/>
        <v>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spans="1:64" s="3" customFormat="1" ht="30" customHeight="1" thickBot="1" x14ac:dyDescent="0.35">
      <c r="A11" s="29"/>
      <c r="B11" s="61" t="s">
        <v>29</v>
      </c>
      <c r="C11" s="62" t="s">
        <v>28</v>
      </c>
      <c r="D11" s="14">
        <v>1</v>
      </c>
      <c r="E11" s="49">
        <v>45923</v>
      </c>
      <c r="F11" s="49">
        <v>45923</v>
      </c>
      <c r="G11" s="12"/>
      <c r="H11" s="12">
        <f t="shared" si="4"/>
        <v>1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spans="1:64" s="3" customFormat="1" ht="30" customHeight="1" thickBot="1" x14ac:dyDescent="0.35">
      <c r="A12" s="29"/>
      <c r="B12" s="59" t="s">
        <v>32</v>
      </c>
      <c r="C12" s="62" t="s">
        <v>31</v>
      </c>
      <c r="D12" s="14">
        <v>1</v>
      </c>
      <c r="E12" s="49">
        <v>45923</v>
      </c>
      <c r="F12" s="49">
        <v>45923</v>
      </c>
      <c r="G12" s="12"/>
      <c r="H12" s="12">
        <f t="shared" si="4"/>
        <v>1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6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spans="1:64" s="3" customFormat="1" ht="30" customHeight="1" thickBot="1" x14ac:dyDescent="0.35">
      <c r="A13" s="29"/>
      <c r="B13" s="59" t="s">
        <v>33</v>
      </c>
      <c r="C13" s="62" t="s">
        <v>31</v>
      </c>
      <c r="D13" s="14">
        <v>1</v>
      </c>
      <c r="E13" s="49">
        <v>45923</v>
      </c>
      <c r="F13" s="49">
        <v>45923</v>
      </c>
      <c r="G13" s="12"/>
      <c r="H13" s="12">
        <f t="shared" si="4"/>
        <v>1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4" s="3" customFormat="1" ht="30" customHeight="1" thickBot="1" x14ac:dyDescent="0.35">
      <c r="A14" s="29"/>
      <c r="B14" s="59" t="s">
        <v>34</v>
      </c>
      <c r="C14" s="62" t="s">
        <v>31</v>
      </c>
      <c r="D14" s="14">
        <v>1</v>
      </c>
      <c r="E14" s="49">
        <v>45925</v>
      </c>
      <c r="F14" s="49">
        <v>45939</v>
      </c>
      <c r="G14" s="12"/>
      <c r="H14" s="12">
        <f t="shared" si="4"/>
        <v>15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spans="1:64" s="3" customFormat="1" ht="30" customHeight="1" thickBot="1" x14ac:dyDescent="0.35">
      <c r="A15" s="29"/>
      <c r="B15" s="59" t="s">
        <v>52</v>
      </c>
      <c r="C15" s="62" t="s">
        <v>28</v>
      </c>
      <c r="D15" s="14">
        <v>1</v>
      </c>
      <c r="E15" s="49">
        <v>45925</v>
      </c>
      <c r="F15" s="49">
        <v>45930</v>
      </c>
      <c r="G15" s="12"/>
      <c r="H15" s="12">
        <f t="shared" si="4"/>
        <v>6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4" s="3" customFormat="1" ht="30" customHeight="1" thickBot="1" x14ac:dyDescent="0.35">
      <c r="A16" s="29"/>
      <c r="B16" s="61" t="s">
        <v>50</v>
      </c>
      <c r="C16" s="62" t="s">
        <v>31</v>
      </c>
      <c r="D16" s="14">
        <v>0</v>
      </c>
      <c r="E16" s="49">
        <v>45925</v>
      </c>
      <c r="F16" s="49">
        <v>45930</v>
      </c>
      <c r="G16" s="12"/>
      <c r="H16" s="12">
        <f t="shared" si="4"/>
        <v>6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spans="1:64" s="3" customFormat="1" ht="30" customHeight="1" thickBot="1" x14ac:dyDescent="0.35">
      <c r="A17" s="29"/>
      <c r="B17" s="59" t="s">
        <v>51</v>
      </c>
      <c r="C17" s="62" t="s">
        <v>31</v>
      </c>
      <c r="D17" s="14">
        <v>1</v>
      </c>
      <c r="E17" s="49">
        <v>45966</v>
      </c>
      <c r="F17" s="49">
        <v>45967</v>
      </c>
      <c r="G17" s="12"/>
      <c r="H17" s="12">
        <f t="shared" si="4"/>
        <v>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spans="1:64" s="3" customFormat="1" ht="30" customHeight="1" thickBot="1" x14ac:dyDescent="0.35">
      <c r="A18" s="30" t="s">
        <v>9</v>
      </c>
      <c r="B18" s="15" t="s">
        <v>35</v>
      </c>
      <c r="C18" s="37"/>
      <c r="D18" s="16"/>
      <c r="E18" s="50"/>
      <c r="F18" s="51"/>
      <c r="G18" s="12"/>
      <c r="H18" s="12" t="str">
        <f t="shared" si="4"/>
        <v/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spans="1:64" s="3" customFormat="1" ht="30" customHeight="1" thickBot="1" x14ac:dyDescent="0.35">
      <c r="A19" s="30"/>
      <c r="B19" s="67" t="s">
        <v>36</v>
      </c>
      <c r="C19" s="68" t="s">
        <v>37</v>
      </c>
      <c r="D19" s="17">
        <v>1</v>
      </c>
      <c r="E19" s="52">
        <v>45926</v>
      </c>
      <c r="F19" s="52">
        <v>45926</v>
      </c>
      <c r="G19" s="12"/>
      <c r="H19" s="12">
        <f t="shared" si="4"/>
        <v>1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spans="1:64" s="3" customFormat="1" ht="30" customHeight="1" thickBot="1" x14ac:dyDescent="0.35">
      <c r="A20" s="29"/>
      <c r="B20" s="69" t="s">
        <v>38</v>
      </c>
      <c r="C20" s="68" t="s">
        <v>31</v>
      </c>
      <c r="D20" s="17">
        <v>1</v>
      </c>
      <c r="E20" s="52">
        <f>E19+2</f>
        <v>45928</v>
      </c>
      <c r="F20" s="52">
        <v>45929</v>
      </c>
      <c r="G20" s="12"/>
      <c r="H20" s="12">
        <f t="shared" si="4"/>
        <v>2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6"/>
      <c r="V20" s="2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spans="1:64" s="3" customFormat="1" ht="30" customHeight="1" thickBot="1" x14ac:dyDescent="0.35">
      <c r="A21" s="29" t="s">
        <v>10</v>
      </c>
      <c r="B21" s="18" t="s">
        <v>39</v>
      </c>
      <c r="C21" s="38"/>
      <c r="D21" s="19"/>
      <c r="E21" s="53"/>
      <c r="F21" s="54"/>
      <c r="G21" s="12"/>
      <c r="H21" s="12" t="str">
        <f t="shared" si="4"/>
        <v/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spans="1:64" s="3" customFormat="1" ht="30" customHeight="1" thickBot="1" x14ac:dyDescent="0.35">
      <c r="A22" s="29"/>
      <c r="B22" s="70" t="s">
        <v>40</v>
      </c>
      <c r="C22" s="72" t="s">
        <v>37</v>
      </c>
      <c r="D22" s="14">
        <v>1</v>
      </c>
      <c r="E22" s="55">
        <v>45937</v>
      </c>
      <c r="F22" s="55">
        <v>45937</v>
      </c>
      <c r="G22" s="12"/>
      <c r="H22" s="12">
        <f t="shared" si="4"/>
        <v>1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spans="1:64" s="3" customFormat="1" ht="30" customHeight="1" thickBot="1" x14ac:dyDescent="0.35">
      <c r="A23" s="29"/>
      <c r="B23" s="71" t="s">
        <v>41</v>
      </c>
      <c r="C23" s="72" t="s">
        <v>37</v>
      </c>
      <c r="D23" s="14">
        <v>1</v>
      </c>
      <c r="E23" s="55">
        <f>F22+1</f>
        <v>45938</v>
      </c>
      <c r="F23" s="55">
        <f>E23+4</f>
        <v>45942</v>
      </c>
      <c r="G23" s="12"/>
      <c r="H23" s="12">
        <f t="shared" si="4"/>
        <v>5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spans="1:64" s="3" customFormat="1" ht="30" customHeight="1" thickBot="1" x14ac:dyDescent="0.35">
      <c r="A24" s="29"/>
      <c r="B24" s="70" t="s">
        <v>42</v>
      </c>
      <c r="C24" s="72" t="s">
        <v>28</v>
      </c>
      <c r="D24" s="14">
        <v>1</v>
      </c>
      <c r="E24" s="55">
        <v>45954</v>
      </c>
      <c r="F24" s="55">
        <v>45955</v>
      </c>
      <c r="G24" s="12"/>
      <c r="H24" s="12">
        <f t="shared" si="4"/>
        <v>2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spans="1:64" s="3" customFormat="1" ht="30" customHeight="1" thickBot="1" x14ac:dyDescent="0.35">
      <c r="A25" s="29"/>
      <c r="B25" s="70" t="s">
        <v>43</v>
      </c>
      <c r="C25" s="72" t="s">
        <v>37</v>
      </c>
      <c r="D25" s="14">
        <v>1</v>
      </c>
      <c r="E25" s="55">
        <v>45946</v>
      </c>
      <c r="F25" s="55">
        <v>45948</v>
      </c>
      <c r="G25" s="12"/>
      <c r="H25" s="12">
        <f t="shared" si="4"/>
        <v>3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spans="1:64" s="3" customFormat="1" ht="30" customHeight="1" thickBot="1" x14ac:dyDescent="0.35">
      <c r="A26" s="29" t="s">
        <v>10</v>
      </c>
      <c r="B26" s="20" t="s">
        <v>44</v>
      </c>
      <c r="C26" s="39"/>
      <c r="D26" s="21"/>
      <c r="E26" s="56"/>
      <c r="F26" s="57"/>
      <c r="G26" s="12"/>
      <c r="H26" s="12" t="str">
        <f t="shared" si="4"/>
        <v/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spans="1:64" s="3" customFormat="1" ht="30" customHeight="1" thickBot="1" x14ac:dyDescent="0.35">
      <c r="A27" s="29"/>
      <c r="B27" s="74" t="s">
        <v>45</v>
      </c>
      <c r="C27" s="75" t="s">
        <v>37</v>
      </c>
      <c r="D27" s="14">
        <v>1</v>
      </c>
      <c r="E27" s="58">
        <v>45949</v>
      </c>
      <c r="F27" s="58">
        <v>45949</v>
      </c>
      <c r="G27" s="12"/>
      <c r="H27" s="12">
        <f t="shared" si="4"/>
        <v>1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spans="1:64" s="3" customFormat="1" ht="30" customHeight="1" thickBot="1" x14ac:dyDescent="0.35">
      <c r="A28" s="29"/>
      <c r="B28" s="73" t="s">
        <v>46</v>
      </c>
      <c r="C28" s="75" t="s">
        <v>37</v>
      </c>
      <c r="D28" s="14">
        <v>1</v>
      </c>
      <c r="E28" s="77">
        <v>45949</v>
      </c>
      <c r="F28" s="58">
        <v>45955</v>
      </c>
      <c r="G28" s="12"/>
      <c r="H28" s="12">
        <f t="shared" si="4"/>
        <v>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spans="1:64" s="3" customFormat="1" ht="30" customHeight="1" thickBot="1" x14ac:dyDescent="0.35">
      <c r="A29" s="29"/>
      <c r="B29" s="73" t="s">
        <v>47</v>
      </c>
      <c r="C29" s="75" t="s">
        <v>37</v>
      </c>
      <c r="D29" s="14">
        <v>1</v>
      </c>
      <c r="E29" s="58">
        <v>45956</v>
      </c>
      <c r="F29" s="58">
        <v>45957</v>
      </c>
      <c r="G29" s="12"/>
      <c r="H29" s="12">
        <f t="shared" si="4"/>
        <v>2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spans="1:64" s="3" customFormat="1" ht="30" customHeight="1" thickBot="1" x14ac:dyDescent="0.35">
      <c r="A30" s="29"/>
      <c r="B30" s="74" t="s">
        <v>48</v>
      </c>
      <c r="C30" s="75" t="s">
        <v>37</v>
      </c>
      <c r="D30" s="14">
        <v>0.5</v>
      </c>
      <c r="E30" s="58">
        <v>45963</v>
      </c>
      <c r="F30" s="58">
        <v>45963</v>
      </c>
      <c r="G30" s="12"/>
      <c r="H30" s="12">
        <f t="shared" si="4"/>
        <v>1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spans="1:64" s="3" customFormat="1" ht="30" customHeight="1" thickBot="1" x14ac:dyDescent="0.35">
      <c r="A31" s="29"/>
      <c r="B31" s="74" t="s">
        <v>49</v>
      </c>
      <c r="C31" s="75" t="s">
        <v>31</v>
      </c>
      <c r="D31" s="14">
        <v>0</v>
      </c>
      <c r="E31" s="58">
        <v>45967</v>
      </c>
      <c r="F31" s="58">
        <v>45978</v>
      </c>
      <c r="G31" s="12"/>
      <c r="H31" s="12">
        <f t="shared" si="4"/>
        <v>12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spans="1:64" s="3" customFormat="1" ht="30" customHeight="1" thickBot="1" x14ac:dyDescent="0.35">
      <c r="A32" s="29" t="s">
        <v>10</v>
      </c>
      <c r="B32" s="79" t="s">
        <v>53</v>
      </c>
      <c r="C32" s="80"/>
      <c r="D32" s="81"/>
      <c r="E32" s="82"/>
      <c r="F32" s="83"/>
      <c r="G32" s="12"/>
      <c r="H32" s="12" t="str">
        <f t="shared" si="4"/>
        <v/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spans="1:64" s="3" customFormat="1" ht="42" customHeight="1" thickBot="1" x14ac:dyDescent="0.35">
      <c r="A33" s="29"/>
      <c r="B33" s="84" t="s">
        <v>54</v>
      </c>
      <c r="C33" s="85" t="s">
        <v>28</v>
      </c>
      <c r="D33" s="78">
        <v>1</v>
      </c>
      <c r="E33" s="86">
        <v>45936</v>
      </c>
      <c r="F33" s="86">
        <v>45936</v>
      </c>
      <c r="G33" s="12"/>
      <c r="H33" s="12">
        <f t="shared" si="4"/>
        <v>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spans="1:64" s="3" customFormat="1" ht="30" customHeight="1" thickBot="1" x14ac:dyDescent="0.35">
      <c r="A34" s="29"/>
      <c r="B34" s="87" t="s">
        <v>55</v>
      </c>
      <c r="C34" s="85" t="s">
        <v>28</v>
      </c>
      <c r="D34" s="78">
        <v>1</v>
      </c>
      <c r="E34" s="88">
        <v>45936</v>
      </c>
      <c r="F34" s="86">
        <v>45940</v>
      </c>
      <c r="G34" s="12"/>
      <c r="H34" s="12">
        <f t="shared" si="4"/>
        <v>5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spans="1:64" s="3" customFormat="1" ht="30" customHeight="1" thickBot="1" x14ac:dyDescent="0.35">
      <c r="A35" s="29"/>
      <c r="B35" s="87" t="s">
        <v>47</v>
      </c>
      <c r="C35" s="85" t="s">
        <v>28</v>
      </c>
      <c r="D35" s="78">
        <v>1</v>
      </c>
      <c r="E35" s="86">
        <v>45940</v>
      </c>
      <c r="F35" s="86">
        <v>45940</v>
      </c>
      <c r="G35" s="12"/>
      <c r="H35" s="12">
        <f t="shared" si="4"/>
        <v>1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spans="1:64" s="3" customFormat="1" ht="30" customHeight="1" thickBot="1" x14ac:dyDescent="0.35">
      <c r="A36" s="29"/>
      <c r="B36" s="84" t="s">
        <v>56</v>
      </c>
      <c r="C36" s="85" t="s">
        <v>28</v>
      </c>
      <c r="D36" s="78">
        <v>0.5</v>
      </c>
      <c r="E36" s="86">
        <v>45963</v>
      </c>
      <c r="F36" s="86">
        <v>45963</v>
      </c>
      <c r="G36" s="12"/>
      <c r="H36" s="12">
        <f t="shared" si="4"/>
        <v>1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spans="1:64" s="3" customFormat="1" ht="30" customHeight="1" thickBot="1" x14ac:dyDescent="0.35">
      <c r="A37" s="30" t="s">
        <v>11</v>
      </c>
      <c r="B37" s="76" t="s">
        <v>13</v>
      </c>
      <c r="C37" s="22"/>
      <c r="D37" s="23"/>
      <c r="E37" s="41"/>
      <c r="F37" s="42"/>
      <c r="G37" s="24"/>
      <c r="H37" s="24" t="str">
        <f t="shared" si="4"/>
        <v/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</row>
    <row r="38" spans="1:64" ht="30" customHeight="1" x14ac:dyDescent="0.3">
      <c r="G38" s="6"/>
    </row>
    <row r="39" spans="1:64" ht="30" customHeight="1" x14ac:dyDescent="0.3">
      <c r="C39" s="10"/>
      <c r="F39" s="31"/>
    </row>
    <row r="40" spans="1:64" ht="30" customHeight="1" x14ac:dyDescent="0.3">
      <c r="C40" s="11"/>
    </row>
  </sheetData>
  <mergeCells count="11">
    <mergeCell ref="BF4:BL4"/>
    <mergeCell ref="E3:F3"/>
    <mergeCell ref="I4:O4"/>
    <mergeCell ref="P4:V4"/>
    <mergeCell ref="W4:AC4"/>
    <mergeCell ref="AD4:AJ4"/>
    <mergeCell ref="C3:D3"/>
    <mergeCell ref="C4:D4"/>
    <mergeCell ref="AK4:AQ4"/>
    <mergeCell ref="AR4:AX4"/>
    <mergeCell ref="AY4:BE4"/>
  </mergeCells>
  <conditionalFormatting sqref="D7:D9 D11:D12 D17:D31 D37">
    <cfRule type="dataBar" priority="3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9 I11:BL12 I17:BL31 I37:BL37">
    <cfRule type="expression" dxfId="20" priority="57">
      <formula>AND(TODAY()&gt;=I$5,TODAY()&lt;J$5)</formula>
    </cfRule>
  </conditionalFormatting>
  <conditionalFormatting sqref="I7:BL9 I11:BL12 I17:BL31 I37:BL37">
    <cfRule type="expression" dxfId="19" priority="51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18" priority="52" stopIfTrue="1">
      <formula>AND(завершение_выполнения_задачи&gt;=I$5,начало_выполнения_задачи&lt;J$5)</formula>
    </cfRule>
  </conditionalFormatting>
  <conditionalFormatting sqref="D13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{4D3C842B-9C2F-4D7A-BD6D-B1F571D8FE7E}</x14:id>
        </ext>
      </extLst>
    </cfRule>
  </conditionalFormatting>
  <conditionalFormatting sqref="I13:BL13">
    <cfRule type="expression" dxfId="17" priority="24">
      <formula>AND(TODAY()&gt;=I$5,TODAY()&lt;J$5)</formula>
    </cfRule>
  </conditionalFormatting>
  <conditionalFormatting sqref="I13:BL13">
    <cfRule type="expression" dxfId="16" priority="22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15" priority="23" stopIfTrue="1">
      <formula>AND(завершение_выполнения_задачи&gt;=I$5,начало_выполнения_задачи&lt;J$5)</formula>
    </cfRule>
  </conditionalFormatting>
  <conditionalFormatting sqref="D10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{BF520BF6-C798-4626-8122-B6AC20174463}</x14:id>
        </ext>
      </extLst>
    </cfRule>
  </conditionalFormatting>
  <conditionalFormatting sqref="I10:BL10">
    <cfRule type="expression" dxfId="14" priority="20">
      <formula>AND(TODAY()&gt;=I$5,TODAY()&lt;J$5)</formula>
    </cfRule>
  </conditionalFormatting>
  <conditionalFormatting sqref="I10:BL10">
    <cfRule type="expression" dxfId="13" priority="18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12" priority="19" stopIfTrue="1">
      <formula>AND(завершение_выполнения_задачи&gt;=I$5,начало_выполнения_задачи&lt;J$5)</formula>
    </cfRule>
  </conditionalFormatting>
  <conditionalFormatting sqref="D15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{8E88BA9C-819C-4C59-AF8A-546C8C4442D9}</x14:id>
        </ext>
      </extLst>
    </cfRule>
  </conditionalFormatting>
  <conditionalFormatting sqref="I15:BL15">
    <cfRule type="expression" dxfId="11" priority="16">
      <formula>AND(TODAY()&gt;=I$5,TODAY()&lt;J$5)</formula>
    </cfRule>
  </conditionalFormatting>
  <conditionalFormatting sqref="I15:BL15">
    <cfRule type="expression" dxfId="10" priority="14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9" priority="15" stopIfTrue="1">
      <formula>AND(завершение_выполнения_задачи&gt;=I$5,начало_выполнения_задачи&lt;J$5)</formula>
    </cfRule>
  </conditionalFormatting>
  <conditionalFormatting sqref="D16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{C4E51468-57A7-4154-814E-B1009A8D85E4}</x14:id>
        </ext>
      </extLst>
    </cfRule>
  </conditionalFormatting>
  <conditionalFormatting sqref="I16:BL16">
    <cfRule type="expression" dxfId="8" priority="12">
      <formula>AND(TODAY()&gt;=I$5,TODAY()&lt;J$5)</formula>
    </cfRule>
  </conditionalFormatting>
  <conditionalFormatting sqref="I16:BL16">
    <cfRule type="expression" dxfId="7" priority="10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6" priority="11" stopIfTrue="1">
      <formula>AND(завершение_выполнения_задачи&gt;=I$5,начало_выполнения_задачи&lt;J$5)</formula>
    </cfRule>
  </conditionalFormatting>
  <conditionalFormatting sqref="D14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{13351188-2E19-4DD4-A7C4-6841EF876D3A}</x14:id>
        </ext>
      </extLst>
    </cfRule>
  </conditionalFormatting>
  <conditionalFormatting sqref="I14:BL14">
    <cfRule type="expression" dxfId="5" priority="8">
      <formula>AND(TODAY()&gt;=I$5,TODAY()&lt;J$5)</formula>
    </cfRule>
  </conditionalFormatting>
  <conditionalFormatting sqref="I14:BL14">
    <cfRule type="expression" dxfId="4" priority="6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3" priority="7" stopIfTrue="1">
      <formula>AND(завершение_выполнения_задачи&gt;=I$5,начало_выполнения_задачи&lt;J$5)</formula>
    </cfRule>
  </conditionalFormatting>
  <conditionalFormatting sqref="D32:D36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{7FDF3F85-B7A9-4499-A316-EE90AE186EC1}</x14:id>
        </ext>
      </extLst>
    </cfRule>
  </conditionalFormatting>
  <conditionalFormatting sqref="I32:BL36">
    <cfRule type="expression" dxfId="2" priority="4">
      <formula>AND(TODAY()&gt;=I$5,TODAY()&lt;J$5)</formula>
    </cfRule>
  </conditionalFormatting>
  <conditionalFormatting sqref="I32:BL36">
    <cfRule type="expression" dxfId="1" priority="2">
      <formula>AND(начало_выполнения_задачи&lt;=I$5,ROUNDDOWN((завершение_выполнения_задачи-начало_выполнения_задачи+1)*ход_выполнения_задачи,0)+начало_выполнения_задачи-1&gt;=I$5)</formula>
    </cfRule>
    <cfRule type="expression" dxfId="0" priority="3" stopIfTrue="1">
      <formula>AND(завершение_выполнения_задачи&gt;=I$5,начало_выполнения_задачи&lt;J$5)</formula>
    </cfRule>
  </conditionalFormatting>
  <dataValidations count="1">
    <dataValidation type="whole" operator="greaterThanOrEqual" allowBlank="1" showInputMessage="1" promptTitle="Отображение недели" prompt="При изменении этого числа представление &quot;Диаграмма Ганта&quot; прокручивается." sqref="E4">
      <formula1>1</formula1>
    </dataValidation>
  </dataValidations>
  <hyperlinks>
    <hyperlink ref="I1" r:id="rId1"/>
    <hyperlink ref="I2" r:id="rId2"/>
  </hyperlinks>
  <printOptions horizontalCentered="1"/>
  <pageMargins left="0.35" right="0.35" top="0.35" bottom="0.5" header="0.3" footer="0.3"/>
  <pageSetup paperSize="9" scale="60" fitToHeight="0" orientation="landscape" r:id="rId3"/>
  <headerFooter differentFirst="1" scaleWithDoc="0">
    <oddFooter>Page &amp;P of &amp;N</oddFooter>
  </headerFooter>
  <ignoredErrors>
    <ignoredError sqref="F2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D7:D9 D11:D12 D17:D31 D37</xm:sqref>
        </x14:conditionalFormatting>
        <x14:conditionalFormatting xmlns:xm="http://schemas.microsoft.com/office/excel/2006/main">
          <x14:cfRule type="dataBar" id="{4D3C842B-9C2F-4D7A-BD6D-B1F571D8FE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D13</xm:sqref>
        </x14:conditionalFormatting>
        <x14:conditionalFormatting xmlns:xm="http://schemas.microsoft.com/office/excel/2006/main">
          <x14:cfRule type="dataBar" id="{BF520BF6-C798-4626-8122-B6AC201744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</xm:sqref>
        </x14:conditionalFormatting>
        <x14:conditionalFormatting xmlns:xm="http://schemas.microsoft.com/office/excel/2006/main">
          <x14:cfRule type="dataBar" id="{8E88BA9C-819C-4C59-AF8A-546C8C4442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D15</xm:sqref>
        </x14:conditionalFormatting>
        <x14:conditionalFormatting xmlns:xm="http://schemas.microsoft.com/office/excel/2006/main">
          <x14:cfRule type="dataBar" id="{C4E51468-57A7-4154-814E-B1009A8D85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13351188-2E19-4DD4-A7C4-6841EF876D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D14</xm:sqref>
        </x14:conditionalFormatting>
        <x14:conditionalFormatting xmlns:xm="http://schemas.microsoft.com/office/excel/2006/main">
          <x14:cfRule type="dataBar" id="{7FDF3F85-B7A9-4499-A316-EE90AE186E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D32:D36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AD2E1-977A-4D4F-8EE8-D64B5FFADF75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230e9df3-be65-4c73-a93b-d1236ebd677e"/>
    <ds:schemaRef ds:uri="http://purl.org/dc/elements/1.1/"/>
    <ds:schemaRef ds:uri="http://schemas.openxmlformats.org/package/2006/metadata/core-properties"/>
    <ds:schemaRef ds:uri="16c05727-aa75-4e4a-9b5f-8a80a1165891"/>
    <ds:schemaRef ds:uri="71af3243-3dd4-4a8d-8c0d-dd76da1f02a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F80F839-78EF-4FF4-A673-3CC84279C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Расписание проекта</vt:lpstr>
      <vt:lpstr>'Расписание проекта'!завершение_выполнения_задачи</vt:lpstr>
      <vt:lpstr>'Расписание проекта'!Заголовки_для_печати</vt:lpstr>
      <vt:lpstr>'Расписание проекта'!начало_выполнения_задачи</vt:lpstr>
      <vt:lpstr>Начало_проекта</vt:lpstr>
      <vt:lpstr>Отображение_недели</vt:lpstr>
      <vt:lpstr>'Расписание проекта'!ход_выполнения_задачи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2021-12-14T20:18:50Z</dcterms:created>
  <dcterms:modified xsi:type="dcterms:W3CDTF">2025-11-06T05:56:02Z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